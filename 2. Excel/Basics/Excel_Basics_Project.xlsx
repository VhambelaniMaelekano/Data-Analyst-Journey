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cbe5b5960237a3/Desktop/Data-Analyst-Journey/2. Excel/"/>
    </mc:Choice>
  </mc:AlternateContent>
  <xr:revisionPtr revIDLastSave="20" documentId="8_{83346468-9120-45E9-97C6-08687849BBB0}" xr6:coauthVersionLast="47" xr6:coauthVersionMax="47" xr10:uidLastSave="{C15B0580-62D6-42BD-A8D2-7E3AA5A219FD}"/>
  <bookViews>
    <workbookView xWindow="-108" yWindow="-108" windowWidth="23256" windowHeight="13176" xr2:uid="{BBB6CE7F-3230-4B8D-A314-8E23E4D1DB03}"/>
  </bookViews>
  <sheets>
    <sheet name="Sales Data" sheetId="1" r:id="rId1"/>
    <sheet name="Pivot Table" sheetId="2" r:id="rId2"/>
    <sheet name="Chart" sheetId="3" r:id="rId3"/>
  </sheets>
  <definedNames>
    <definedName name="_xlnm._FilterDatabase" localSheetId="0" hidden="1">'Sales Data'!$A$3:$F$3</definedName>
  </definedName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5" i="1"/>
  <c r="F7" i="1"/>
  <c r="F10" i="1"/>
  <c r="F11" i="1"/>
  <c r="F12" i="1"/>
  <c r="F6" i="1"/>
  <c r="F4" i="1"/>
  <c r="F8" i="1"/>
  <c r="F9" i="1"/>
  <c r="D17" i="1"/>
  <c r="E16" i="1"/>
  <c r="D16" i="1"/>
  <c r="E15" i="1"/>
  <c r="D15" i="1"/>
</calcChain>
</file>

<file path=xl/sharedStrings.xml><?xml version="1.0" encoding="utf-8"?>
<sst xmlns="http://schemas.openxmlformats.org/spreadsheetml/2006/main" count="55" uniqueCount="29">
  <si>
    <t>OrderID</t>
  </si>
  <si>
    <t>Region</t>
  </si>
  <si>
    <t>Product</t>
  </si>
  <si>
    <t>Sales</t>
  </si>
  <si>
    <t>Quantity</t>
  </si>
  <si>
    <t>North</t>
  </si>
  <si>
    <t>Laptop</t>
  </si>
  <si>
    <t>East</t>
  </si>
  <si>
    <t>Phone</t>
  </si>
  <si>
    <t>South</t>
  </si>
  <si>
    <t>Tablet</t>
  </si>
  <si>
    <t>West</t>
  </si>
  <si>
    <t>Sales Data</t>
  </si>
  <si>
    <t>Revenue per Unit</t>
  </si>
  <si>
    <t>Row Labels</t>
  </si>
  <si>
    <t>Grand Total</t>
  </si>
  <si>
    <t>Column Labels</t>
  </si>
  <si>
    <t>Sum of Sales</t>
  </si>
  <si>
    <t>Total Sum of Sales</t>
  </si>
  <si>
    <t>Total Sum of Quantity</t>
  </si>
  <si>
    <t>Sum of Quantity</t>
  </si>
  <si>
    <t>Total Sum of Revenue per Unit</t>
  </si>
  <si>
    <t>Sum of Revenue per Unit</t>
  </si>
  <si>
    <t>PIVOT TABLE</t>
  </si>
  <si>
    <t>Summary</t>
  </si>
  <si>
    <t>Laptops generate the highest revenue per unit, with the South region leading efficiency.</t>
  </si>
  <si>
    <t>Total Sales</t>
  </si>
  <si>
    <t>Average Sales</t>
  </si>
  <si>
    <t>Count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</si>
</sst>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&quot;* #,##0.00_-;\-&quot;R&quot;* #,##0.00_-;_-&quot;R&quot;* &quot;-&quot;??_-;_-@_-"/>
    <numFmt numFmtId="175" formatCode="&quot;R&quot;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175" fontId="0" fillId="0" borderId="0" xfId="0" applyNumberFormat="1"/>
    <xf numFmtId="0" fontId="0" fillId="2" borderId="0" xfId="0" applyFill="1"/>
    <xf numFmtId="0" fontId="0" fillId="2" borderId="0" xfId="0" applyFill="1" applyAlignment="1">
      <alignment horizontal="left"/>
    </xf>
    <xf numFmtId="44" fontId="0" fillId="3" borderId="0" xfId="0" applyNumberFormat="1" applyFill="1"/>
    <xf numFmtId="0" fontId="0" fillId="3" borderId="0" xfId="0" applyFill="1"/>
    <xf numFmtId="0" fontId="0" fillId="3" borderId="0" xfId="0" applyNumberFormat="1" applyFill="1"/>
    <xf numFmtId="44" fontId="0" fillId="4" borderId="0" xfId="0" applyNumberFormat="1" applyFill="1"/>
    <xf numFmtId="0" fontId="0" fillId="4" borderId="0" xfId="0" applyFill="1"/>
    <xf numFmtId="0" fontId="0" fillId="4" borderId="0" xfId="0" applyNumberFormat="1" applyFill="1"/>
    <xf numFmtId="44" fontId="0" fillId="5" borderId="0" xfId="0" applyNumberFormat="1" applyFill="1"/>
    <xf numFmtId="0" fontId="0" fillId="5" borderId="0" xfId="0" applyFill="1"/>
    <xf numFmtId="0" fontId="0" fillId="5" borderId="0" xfId="0" applyNumberFormat="1" applyFill="1"/>
    <xf numFmtId="44" fontId="0" fillId="6" borderId="0" xfId="0" applyNumberFormat="1" applyFill="1"/>
    <xf numFmtId="0" fontId="0" fillId="6" borderId="0" xfId="0" applyFill="1"/>
    <xf numFmtId="0" fontId="0" fillId="6" borderId="0" xfId="0" applyNumberFormat="1" applyFill="1"/>
    <xf numFmtId="0" fontId="0" fillId="7" borderId="0" xfId="0" applyFill="1"/>
    <xf numFmtId="0" fontId="4" fillId="7" borderId="0" xfId="0" applyFont="1" applyFill="1"/>
    <xf numFmtId="0" fontId="3" fillId="0" borderId="0" xfId="0" applyFont="1"/>
    <xf numFmtId="0" fontId="2" fillId="8" borderId="0" xfId="0" applyFont="1" applyFill="1" applyAlignment="1">
      <alignment horizontal="center"/>
    </xf>
    <xf numFmtId="175" fontId="2" fillId="8" borderId="0" xfId="0" applyNumberFormat="1" applyFont="1" applyFill="1" applyAlignment="1">
      <alignment horizontal="center"/>
    </xf>
    <xf numFmtId="0" fontId="2" fillId="9" borderId="0" xfId="0" applyFont="1" applyFill="1"/>
    <xf numFmtId="44" fontId="2" fillId="9" borderId="0" xfId="1" applyFont="1" applyFill="1"/>
    <xf numFmtId="0" fontId="0" fillId="9" borderId="0" xfId="0" applyFill="1"/>
  </cellXfs>
  <cellStyles count="2">
    <cellStyle name="Currency" xfId="1" builtinId="4"/>
    <cellStyle name="Normal" xfId="0" builtinId="0"/>
  </cellStyles>
  <dxfs count="5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/>
        </patternFill>
      </fill>
      <alignment horizontal="center" vertical="bottom" textRotation="0" wrapText="0" indent="0" justifyLastLine="0" shrinkToFit="0" readingOrder="0"/>
    </dxf>
    <dxf>
      <numFmt numFmtId="175" formatCode="&quot;R&quot;#,##0.00"/>
    </dxf>
    <dxf>
      <numFmt numFmtId="175" formatCode="&quot;R&quot;#,##0.00"/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-0.249977111117893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34" formatCode="_-&quot;R&quot;* #,##0.00_-;\-&quot;R&quot;* #,##0.00_-;_-&quot;R&quot;* &quot;-&quot;??_-;_-@_-"/>
    </dxf>
    <dxf>
      <numFmt numFmtId="34" formatCode="_-&quot;R&quot;* #,##0.00_-;\-&quot;R&quot;* #,##0.00_-;_-&quot;R&quot;* &quot;-&quot;??_-;_-@_-"/>
    </dxf>
    <dxf>
      <numFmt numFmtId="34" formatCode="_-&quot;R&quot;* #,##0.00_-;\-&quot;R&quot;* #,##0.00_-;_-&quot;R&quot;* &quot;-&quot;??_-;_-@_-"/>
    </dxf>
    <dxf>
      <numFmt numFmtId="34" formatCode="_-&quot;R&quot;* #,##0.00_-;\-&quot;R&quot;* #,##0.00_-;_-&quot;R&quot;* &quot;-&quot;??_-;_-@_-"/>
    </dxf>
    <dxf>
      <numFmt numFmtId="34" formatCode="_-&quot;R&quot;* #,##0.00_-;\-&quot;R&quot;* #,##0.00_-;_-&quot;R&quot;* &quot;-&quot;??_-;_-@_-"/>
    </dxf>
    <dxf>
      <numFmt numFmtId="34" formatCode="_-&quot;R&quot;* #,##0.00_-;\-&quot;R&quot;* #,##0.00_-;_-&quot;R&quot;* &quot;-&quot;??_-;_-@_-"/>
    </dxf>
    <dxf>
      <numFmt numFmtId="34" formatCode="_-&quot;R&quot;* #,##0.00_-;\-&quot;R&quot;* #,##0.00_-;_-&quot;R&quot;* &quot;-&quot;??_-;_-@_-"/>
    </dxf>
    <dxf>
      <numFmt numFmtId="34" formatCode="_-&quot;R&quot;* #,##0.00_-;\-&quot;R&quot;* #,##0.00_-;_-&quot;R&quot;* &quot;-&quot;??_-;_-@_-"/>
    </dxf>
    <dxf>
      <numFmt numFmtId="34" formatCode="_-&quot;R&quot;* #,##0.00_-;\-&quot;R&quot;* #,##0.00_-;_-&quot;R&quot;* &quot;-&quot;??_-;_-@_-"/>
    </dxf>
    <dxf>
      <numFmt numFmtId="34" formatCode="_-&quot;R&quot;* #,##0.00_-;\-&quot;R&quot;* #,##0.00_-;_-&quot;R&quot;* &quot;-&quot;??_-;_-@_-"/>
    </dxf>
    <dxf>
      <numFmt numFmtId="34" formatCode="_-&quot;R&quot;* #,##0.00_-;\-&quot;R&quot;* #,##0.00_-;_-&quot;R&quot;* &quot;-&quot;??_-;_-@_-"/>
    </dxf>
    <dxf>
      <numFmt numFmtId="34" formatCode="_-&quot;R&quot;* #,##0.00_-;\-&quot;R&quot;* #,##0.00_-;_-&quot;R&quot;* &quot;-&quot;??_-;_-@_-"/>
    </dxf>
    <dxf>
      <numFmt numFmtId="34" formatCode="_-&quot;R&quot;* #,##0.00_-;\-&quot;R&quot;* #,##0.00_-;_-&quot;R&quot;* &quot;-&quot;??_-;_-@_-"/>
    </dxf>
    <dxf>
      <numFmt numFmtId="34" formatCode="_-&quot;R&quot;* #,##0.00_-;\-&quot;R&quot;* #,##0.00_-;_-&quot;R&quot;* &quot;-&quot;??_-;_-@_-"/>
    </dxf>
    <dxf>
      <numFmt numFmtId="34" formatCode="_-&quot;R&quot;* #,##0.00_-;\-&quot;R&quot;* #,##0.00_-;_-&quot;R&quot;* &quot;-&quot;??_-;_-@_-"/>
    </dxf>
    <dxf>
      <numFmt numFmtId="34" formatCode="_-&quot;R&quot;* #,##0.00_-;\-&quot;R&quot;* #,##0.00_-;_-&quot;R&quot;* &quot;-&quot;??_-;_-@_-"/>
    </dxf>
    <dxf>
      <numFmt numFmtId="34" formatCode="_-&quot;R&quot;* #,##0.00_-;\-&quot;R&quot;* #,##0.00_-;_-&quot;R&quot;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Data'!$D$3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Data'!$B$4:$B$13</c:f>
              <c:strCache>
                <c:ptCount val="10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North</c:v>
                </c:pt>
                <c:pt idx="4">
                  <c:v>West</c:v>
                </c:pt>
                <c:pt idx="5">
                  <c:v>East</c:v>
                </c:pt>
                <c:pt idx="6">
                  <c:v>North</c:v>
                </c:pt>
                <c:pt idx="7">
                  <c:v>North</c:v>
                </c:pt>
                <c:pt idx="8">
                  <c:v>South</c:v>
                </c:pt>
                <c:pt idx="9">
                  <c:v>East</c:v>
                </c:pt>
              </c:strCache>
            </c:strRef>
          </c:cat>
          <c:val>
            <c:numRef>
              <c:f>'Sales Data'!$D$4:$D$13</c:f>
              <c:numCache>
                <c:formatCode>"R"#\ ##0.00</c:formatCode>
                <c:ptCount val="10"/>
                <c:pt idx="0">
                  <c:v>15000</c:v>
                </c:pt>
                <c:pt idx="1">
                  <c:v>14800</c:v>
                </c:pt>
                <c:pt idx="2">
                  <c:v>13400</c:v>
                </c:pt>
                <c:pt idx="3">
                  <c:v>12500</c:v>
                </c:pt>
                <c:pt idx="4">
                  <c:v>9100</c:v>
                </c:pt>
                <c:pt idx="5">
                  <c:v>8200</c:v>
                </c:pt>
                <c:pt idx="6">
                  <c:v>7800</c:v>
                </c:pt>
                <c:pt idx="7">
                  <c:v>6300</c:v>
                </c:pt>
                <c:pt idx="8">
                  <c:v>5600</c:v>
                </c:pt>
                <c:pt idx="9">
                  <c:v>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D2-4AB6-A683-A7EC88112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9344607"/>
        <c:axId val="1969343647"/>
      </c:barChart>
      <c:catAx>
        <c:axId val="1969344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600"/>
                  <a:t>Region</a:t>
                </a:r>
              </a:p>
            </c:rich>
          </c:tx>
          <c:layout>
            <c:manualLayout>
              <c:xMode val="edge"/>
              <c:yMode val="edge"/>
              <c:x val="0.46545579573374685"/>
              <c:y val="0.871962315515226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343647"/>
        <c:crosses val="autoZero"/>
        <c:auto val="1"/>
        <c:lblAlgn val="ctr"/>
        <c:lblOffset val="100"/>
        <c:noMultiLvlLbl val="0"/>
      </c:catAx>
      <c:valAx>
        <c:axId val="196934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R&quot;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344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</xdr:rowOff>
    </xdr:from>
    <xdr:to>
      <xdr:col>8</xdr:col>
      <xdr:colOff>0</xdr:colOff>
      <xdr:row>16</xdr:row>
      <xdr:rowOff>38946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0731AD-210F-40F3-B8E0-1550205BA2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hambelani Maelekano" refreshedDate="46077.696953125" createdVersion="8" refreshedVersion="8" minRefreshableVersion="3" recordCount="10" xr:uid="{A028BFC0-D402-4D8B-9ED4-0F983E859853}">
  <cacheSource type="worksheet">
    <worksheetSource ref="A3:F13" sheet="Sales Data"/>
  </cacheSource>
  <cacheFields count="6">
    <cacheField name="OrderID" numFmtId="0">
      <sharedItems containsSemiMixedTypes="0" containsString="0" containsNumber="1" containsInteger="1" minValue="1001" maxValue="1010"/>
    </cacheField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Laptop"/>
        <s v="Tablet"/>
        <s v="Phone"/>
      </sharedItems>
    </cacheField>
    <cacheField name="Sales" numFmtId="0">
      <sharedItems containsSemiMixedTypes="0" containsString="0" containsNumber="1" containsInteger="1" minValue="4200" maxValue="15000"/>
    </cacheField>
    <cacheField name="Quantity" numFmtId="0">
      <sharedItems containsSemiMixedTypes="0" containsString="0" containsNumber="1" containsInteger="1" minValue="3" maxValue="12"/>
    </cacheField>
    <cacheField name="Revenue per Unit" numFmtId="2">
      <sharedItems containsSemiMixedTypes="0" containsString="0" containsNumber="1" minValue="758.33333333333337" maxValue="26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7"/>
    <x v="0"/>
    <x v="0"/>
    <n v="13400"/>
    <n v="5"/>
    <n v="2680"/>
  </r>
  <r>
    <n v="1001"/>
    <x v="1"/>
    <x v="0"/>
    <n v="12500"/>
    <n v="5"/>
    <n v="2500"/>
  </r>
  <r>
    <n v="1004"/>
    <x v="2"/>
    <x v="0"/>
    <n v="15000"/>
    <n v="6"/>
    <n v="2500"/>
  </r>
  <r>
    <n v="1010"/>
    <x v="3"/>
    <x v="0"/>
    <n v="14800"/>
    <n v="7"/>
    <n v="2114.2857142857142"/>
  </r>
  <r>
    <n v="1006"/>
    <x v="3"/>
    <x v="1"/>
    <n v="4200"/>
    <n v="3"/>
    <n v="1400"/>
  </r>
  <r>
    <n v="1003"/>
    <x v="0"/>
    <x v="1"/>
    <n v="5600"/>
    <n v="4"/>
    <n v="1400"/>
  </r>
  <r>
    <n v="1009"/>
    <x v="1"/>
    <x v="1"/>
    <n v="6300"/>
    <n v="5"/>
    <n v="1260"/>
  </r>
  <r>
    <n v="1005"/>
    <x v="1"/>
    <x v="2"/>
    <n v="7800"/>
    <n v="9"/>
    <n v="866.66666666666663"/>
  </r>
  <r>
    <n v="1002"/>
    <x v="3"/>
    <x v="2"/>
    <n v="8200"/>
    <n v="10"/>
    <n v="820"/>
  </r>
  <r>
    <n v="1008"/>
    <x v="2"/>
    <x v="2"/>
    <n v="9100"/>
    <n v="12"/>
    <n v="758.333333333333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0897CD-5B83-4D6E-A329-B748E29FD366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M9" firstHeaderRow="1" firstDataRow="3" firstDataCol="1"/>
  <pivotFields count="6">
    <pivotField showAll="0"/>
    <pivotField axis="axisRow" showAll="0">
      <items count="5">
        <item x="3"/>
        <item x="1"/>
        <item x="0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  <pivotField dataField="1" numFmtId="2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2">
    <field x="2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Sales" fld="3" baseField="0" baseItem="0"/>
    <dataField name="Sum of Revenue per Unit" fld="5" baseField="0" baseItem="0" numFmtId="2"/>
    <dataField name="Sum of Quantity" fld="4" baseField="0" baseItem="0"/>
  </dataFields>
  <formats count="47">
    <format dxfId="58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format>
    <format dxfId="57">
      <pivotArea dataOnly="0" labelOnly="1" outline="0" fieldPosition="0">
        <references count="2">
          <reference field="4294967294" count="1">
            <x v="0"/>
          </reference>
          <reference field="2" count="1" selected="0">
            <x v="0"/>
          </reference>
        </references>
      </pivotArea>
    </format>
    <format dxfId="56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format>
    <format dxfId="55">
      <pivotArea dataOnly="0" labelOnly="1" outline="0" fieldPosition="0">
        <references count="2">
          <reference field="4294967294" count="1">
            <x v="1"/>
          </reference>
          <reference field="2" count="1" selected="0">
            <x v="0"/>
          </reference>
        </references>
      </pivotArea>
    </format>
    <format dxfId="54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format>
    <format dxfId="53">
      <pivotArea dataOnly="0" labelOnly="1" outline="0" fieldPosition="0">
        <references count="2">
          <reference field="4294967294" count="1">
            <x v="0"/>
          </reference>
          <reference field="2" count="1" selected="0">
            <x v="1"/>
          </reference>
        </references>
      </pivotArea>
    </format>
    <format dxfId="52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format>
    <format dxfId="51">
      <pivotArea dataOnly="0" labelOnly="1" outline="0" fieldPosition="0">
        <references count="2">
          <reference field="4294967294" count="1">
            <x v="1"/>
          </reference>
          <reference field="2" count="1" selected="0">
            <x v="1"/>
          </reference>
        </references>
      </pivotArea>
    </format>
    <format dxfId="50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format>
    <format dxfId="49">
      <pivotArea dataOnly="0" labelOnly="1" outline="0" fieldPosition="0">
        <references count="2">
          <reference field="4294967294" count="1">
            <x v="0"/>
          </reference>
          <reference field="2" count="1" selected="0">
            <x v="2"/>
          </reference>
        </references>
      </pivotArea>
    </format>
    <format dxfId="48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format>
    <format dxfId="47">
      <pivotArea dataOnly="0" labelOnly="1" outline="0" fieldPosition="0">
        <references count="2">
          <reference field="4294967294" count="1">
            <x v="1"/>
          </reference>
          <reference field="2" count="1" selected="0">
            <x v="2"/>
          </reference>
        </references>
      </pivotArea>
    </format>
    <format dxfId="46">
      <pivotArea field="2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  <format dxfId="45">
      <pivotArea field="2" grandCol="1" outline="0" collapsedLevelsAreSubtotals="1" axis="axisCol" fieldPosition="0">
        <references count="1">
          <reference field="4294967294" count="1" selected="0">
            <x v="1"/>
          </reference>
        </references>
      </pivotArea>
    </format>
    <format dxfId="44">
      <pivotArea field="2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3">
      <pivotArea field="2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2">
      <pivotArea field="2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41">
      <pivotArea field="1" type="button" dataOnly="0" labelOnly="1" outline="0" axis="axisRow" fieldPosition="0"/>
    </format>
    <format dxfId="40">
      <pivotArea dataOnly="0" labelOnly="1" fieldPosition="0">
        <references count="1">
          <reference field="1" count="0"/>
        </references>
      </pivotArea>
    </format>
    <format dxfId="39">
      <pivotArea dataOnly="0" labelOnly="1" grandRow="1" outline="0" fieldPosition="0"/>
    </format>
    <format dxfId="38">
      <pivotArea outline="0" collapsedLevelsAreSubtotals="1" fieldPosition="0">
        <references count="2">
          <reference field="4294967294" count="3" selected="0">
            <x v="0"/>
            <x v="1"/>
            <x v="2"/>
          </reference>
          <reference field="2" count="1" selected="0">
            <x v="0"/>
          </reference>
        </references>
      </pivotArea>
    </format>
    <format dxfId="3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1" selected="0">
            <x v="0"/>
          </reference>
        </references>
      </pivotArea>
    </format>
    <format dxfId="36">
      <pivotArea dataOnly="0" labelOnly="1" offset="A256" fieldPosition="0">
        <references count="1">
          <reference field="2" count="1">
            <x v="0"/>
          </reference>
        </references>
      </pivotArea>
    </format>
    <format dxfId="35">
      <pivotArea outline="0" collapsedLevelsAreSubtotals="1" fieldPosition="0">
        <references count="2">
          <reference field="4294967294" count="3" selected="0">
            <x v="0"/>
            <x v="1"/>
            <x v="2"/>
          </reference>
          <reference field="2" count="1" selected="0">
            <x v="1"/>
          </reference>
        </references>
      </pivotArea>
    </format>
    <format dxfId="3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1" selected="0">
            <x v="1"/>
          </reference>
        </references>
      </pivotArea>
    </format>
    <format dxfId="33">
      <pivotArea dataOnly="0" labelOnly="1" offset="A256" fieldPosition="0">
        <references count="1">
          <reference field="2" count="1">
            <x v="1"/>
          </reference>
        </references>
      </pivotArea>
    </format>
    <format dxfId="32">
      <pivotArea outline="0" collapsedLevelsAreSubtotals="1" fieldPosition="0">
        <references count="2">
          <reference field="4294967294" count="3" selected="0">
            <x v="0"/>
            <x v="1"/>
            <x v="2"/>
          </reference>
          <reference field="2" count="1" selected="0">
            <x v="2"/>
          </reference>
        </references>
      </pivotArea>
    </format>
    <format dxfId="3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1" selected="0">
            <x v="2"/>
          </reference>
        </references>
      </pivotArea>
    </format>
    <format dxfId="30">
      <pivotArea dataOnly="0" labelOnly="1" offset="A256" fieldPosition="0">
        <references count="1">
          <reference field="2" count="1">
            <x v="2"/>
          </reference>
        </references>
      </pivotArea>
    </format>
    <format dxfId="29">
      <pivotArea field="2" grandCol="1" outline="0" collapsedLevelsAreSubtotals="1" axis="axisCol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25">
      <pivotArea field="2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3">
      <pivotArea field="2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1">
      <pivotArea field="2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9">
      <pivotArea type="origin" dataOnly="0" labelOnly="1" outline="0" fieldPosition="0"/>
    </format>
    <format dxfId="17">
      <pivotArea type="origin" dataOnly="0" labelOnly="1" outline="0" offset="A1" fieldPosition="0"/>
    </format>
    <format dxfId="16">
      <pivotArea type="origin" dataOnly="0" labelOnly="1" outline="0" offset="A2" fieldPosition="0"/>
    </format>
    <format dxfId="15">
      <pivotArea field="2" type="button" dataOnly="0" labelOnly="1" outline="0" axis="axisCol" fieldPosition="0"/>
    </format>
    <format dxfId="14">
      <pivotArea field="-2" type="button" dataOnly="0" labelOnly="1" outline="0" axis="axisCol" fieldPosition="1"/>
    </format>
    <format dxfId="13">
      <pivotArea type="topRight" dataOnly="0" labelOnly="1" outline="0" offset="A1" fieldPosition="0"/>
    </format>
    <format dxfId="12">
      <pivotArea dataOnly="0" labelOnly="1" offset="B256:IV256" fieldPosition="0">
        <references count="1">
          <reference field="2" count="1">
            <x v="0"/>
          </reference>
        </references>
      </pivotArea>
    </format>
    <format dxfId="11">
      <pivotArea type="topRight" dataOnly="0" labelOnly="1" outline="0" offset="C1:D1" fieldPosition="0"/>
    </format>
    <format dxfId="10">
      <pivotArea dataOnly="0" labelOnly="1" offset="B256:IV256" fieldPosition="0">
        <references count="1">
          <reference field="2" count="1">
            <x v="1"/>
          </reference>
        </references>
      </pivotArea>
    </format>
    <format dxfId="9">
      <pivotArea type="topRight" dataOnly="0" labelOnly="1" outline="0" offset="B1" fieldPosition="0"/>
    </format>
    <format dxfId="8">
      <pivotArea type="topRight" dataOnly="0" labelOnly="1" outline="0" offset="E1" fieldPosition="0"/>
    </format>
    <format dxfId="7">
      <pivotArea type="topRight" dataOnly="0" labelOnly="1" outline="0" offset="F1:G1" fieldPosition="0"/>
    </format>
    <format dxfId="6">
      <pivotArea dataOnly="0" labelOnly="1" offset="B256:IV256" fieldPosition="0">
        <references count="1">
          <reference field="2" count="1">
            <x v="2"/>
          </reference>
        </references>
      </pivotArea>
    </format>
    <format dxfId="5">
      <pivotArea type="topRight" dataOnly="0" labelOnly="1" outline="0" offset="H1:J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C3CE4D-86FD-4769-96CD-312B4CABC0D0}" name="Table1" displayName="Table1" ref="A3:F13" totalsRowShown="0" headerRowDxfId="0">
  <autoFilter ref="A3:F13" xr:uid="{65C3CE4D-86FD-4769-96CD-312B4CABC0D0}"/>
  <tableColumns count="6">
    <tableColumn id="1" xr3:uid="{D9E6542A-3634-4F80-A901-CD693B452F1D}" name="OrderID"/>
    <tableColumn id="2" xr3:uid="{E8F5CF68-A387-423F-858A-D69795EFDB3A}" name="Region"/>
    <tableColumn id="3" xr3:uid="{E9286EDF-1D51-4662-9E07-808A6A1A826B}" name="Product"/>
    <tableColumn id="4" xr3:uid="{85A0A9D2-E0EB-4090-A7ED-E068E0F7A9C8}" name="Sales" dataDxfId="2"/>
    <tableColumn id="5" xr3:uid="{DAEECB14-6752-4EC5-B675-E35AED36F00C}" name="Quantity"/>
    <tableColumn id="6" xr3:uid="{5FF4C523-FFFE-44F3-BE6B-2F33EE618F1E}" name="Revenue per Unit" dataDxfId="1">
      <calculatedColumnFormula>D4/E4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BAD4A-F035-4237-AD7D-A2B6DBF46D86}">
  <dimension ref="A1:F20"/>
  <sheetViews>
    <sheetView tabSelected="1" workbookViewId="0">
      <selection activeCell="A15" sqref="A15:F20"/>
    </sheetView>
  </sheetViews>
  <sheetFormatPr defaultRowHeight="14.4" x14ac:dyDescent="0.3"/>
  <cols>
    <col min="1" max="1" width="12.77734375" customWidth="1"/>
    <col min="2" max="2" width="11" bestFit="1" customWidth="1"/>
    <col min="3" max="3" width="17.77734375" bestFit="1" customWidth="1"/>
    <col min="4" max="4" width="11.33203125" bestFit="1" customWidth="1"/>
    <col min="5" max="5" width="12.5546875" bestFit="1" customWidth="1"/>
    <col min="6" max="6" width="19.44140625" bestFit="1" customWidth="1"/>
  </cols>
  <sheetData>
    <row r="1" spans="1:6" ht="25.8" x14ac:dyDescent="0.5">
      <c r="C1" s="18" t="s">
        <v>12</v>
      </c>
    </row>
    <row r="3" spans="1:6" x14ac:dyDescent="0.3">
      <c r="A3" s="19" t="s">
        <v>0</v>
      </c>
      <c r="B3" s="19" t="s">
        <v>1</v>
      </c>
      <c r="C3" s="19" t="s">
        <v>2</v>
      </c>
      <c r="D3" s="20" t="s">
        <v>3</v>
      </c>
      <c r="E3" s="19" t="s">
        <v>4</v>
      </c>
      <c r="F3" s="20" t="s">
        <v>13</v>
      </c>
    </row>
    <row r="4" spans="1:6" x14ac:dyDescent="0.3">
      <c r="A4">
        <v>1004</v>
      </c>
      <c r="B4" t="s">
        <v>11</v>
      </c>
      <c r="C4" t="s">
        <v>6</v>
      </c>
      <c r="D4" s="1">
        <v>15000</v>
      </c>
      <c r="E4">
        <v>6</v>
      </c>
      <c r="F4" s="1">
        <f>D4/E4</f>
        <v>2500</v>
      </c>
    </row>
    <row r="5" spans="1:6" x14ac:dyDescent="0.3">
      <c r="A5">
        <v>1010</v>
      </c>
      <c r="B5" t="s">
        <v>7</v>
      </c>
      <c r="C5" t="s">
        <v>6</v>
      </c>
      <c r="D5" s="1">
        <v>14800</v>
      </c>
      <c r="E5">
        <v>7</v>
      </c>
      <c r="F5" s="1">
        <f>D5/E5</f>
        <v>2114.2857142857142</v>
      </c>
    </row>
    <row r="6" spans="1:6" x14ac:dyDescent="0.3">
      <c r="A6">
        <v>1007</v>
      </c>
      <c r="B6" t="s">
        <v>9</v>
      </c>
      <c r="C6" t="s">
        <v>6</v>
      </c>
      <c r="D6" s="1">
        <v>13400</v>
      </c>
      <c r="E6">
        <v>5</v>
      </c>
      <c r="F6" s="1">
        <f>D6/E6</f>
        <v>2680</v>
      </c>
    </row>
    <row r="7" spans="1:6" x14ac:dyDescent="0.3">
      <c r="A7">
        <v>1001</v>
      </c>
      <c r="B7" t="s">
        <v>5</v>
      </c>
      <c r="C7" t="s">
        <v>6</v>
      </c>
      <c r="D7" s="1">
        <v>12500</v>
      </c>
      <c r="E7">
        <v>5</v>
      </c>
      <c r="F7" s="1">
        <f>D7/E7</f>
        <v>2500</v>
      </c>
    </row>
    <row r="8" spans="1:6" x14ac:dyDescent="0.3">
      <c r="A8">
        <v>1008</v>
      </c>
      <c r="B8" t="s">
        <v>11</v>
      </c>
      <c r="C8" t="s">
        <v>8</v>
      </c>
      <c r="D8" s="1">
        <v>9100</v>
      </c>
      <c r="E8">
        <v>12</v>
      </c>
      <c r="F8" s="1">
        <f>D8/E8</f>
        <v>758.33333333333337</v>
      </c>
    </row>
    <row r="9" spans="1:6" x14ac:dyDescent="0.3">
      <c r="A9">
        <v>1002</v>
      </c>
      <c r="B9" t="s">
        <v>7</v>
      </c>
      <c r="C9" t="s">
        <v>8</v>
      </c>
      <c r="D9" s="1">
        <v>8200</v>
      </c>
      <c r="E9">
        <v>10</v>
      </c>
      <c r="F9" s="1">
        <f>D9/E9</f>
        <v>820</v>
      </c>
    </row>
    <row r="10" spans="1:6" x14ac:dyDescent="0.3">
      <c r="A10">
        <v>1005</v>
      </c>
      <c r="B10" t="s">
        <v>5</v>
      </c>
      <c r="C10" t="s">
        <v>8</v>
      </c>
      <c r="D10" s="1">
        <v>7800</v>
      </c>
      <c r="E10">
        <v>9</v>
      </c>
      <c r="F10" s="1">
        <f>D10/E10</f>
        <v>866.66666666666663</v>
      </c>
    </row>
    <row r="11" spans="1:6" x14ac:dyDescent="0.3">
      <c r="A11">
        <v>1009</v>
      </c>
      <c r="B11" t="s">
        <v>5</v>
      </c>
      <c r="C11" t="s">
        <v>10</v>
      </c>
      <c r="D11" s="1">
        <v>6300</v>
      </c>
      <c r="E11">
        <v>5</v>
      </c>
      <c r="F11" s="1">
        <f>D11/E11</f>
        <v>1260</v>
      </c>
    </row>
    <row r="12" spans="1:6" x14ac:dyDescent="0.3">
      <c r="A12">
        <v>1003</v>
      </c>
      <c r="B12" t="s">
        <v>9</v>
      </c>
      <c r="C12" t="s">
        <v>10</v>
      </c>
      <c r="D12" s="1">
        <v>5600</v>
      </c>
      <c r="E12">
        <v>4</v>
      </c>
      <c r="F12" s="1">
        <f>D12/E12</f>
        <v>1400</v>
      </c>
    </row>
    <row r="13" spans="1:6" x14ac:dyDescent="0.3">
      <c r="A13">
        <v>1006</v>
      </c>
      <c r="B13" t="s">
        <v>7</v>
      </c>
      <c r="C13" t="s">
        <v>10</v>
      </c>
      <c r="D13" s="1">
        <v>4200</v>
      </c>
      <c r="E13">
        <v>3</v>
      </c>
      <c r="F13" s="1">
        <f>D13/E13</f>
        <v>1400</v>
      </c>
    </row>
    <row r="15" spans="1:6" x14ac:dyDescent="0.3">
      <c r="A15" s="21" t="s">
        <v>26</v>
      </c>
      <c r="B15" s="21"/>
      <c r="C15" s="21"/>
      <c r="D15" s="22">
        <f>SUM(D4:D13)</f>
        <v>96900</v>
      </c>
      <c r="E15" s="21">
        <f>SUM(E4:E13)</f>
        <v>66</v>
      </c>
      <c r="F15" s="23"/>
    </row>
    <row r="16" spans="1:6" x14ac:dyDescent="0.3">
      <c r="A16" s="21" t="s">
        <v>27</v>
      </c>
      <c r="B16" s="21"/>
      <c r="C16" s="21"/>
      <c r="D16" s="22">
        <f>AVERAGE(D4:D13)</f>
        <v>9690</v>
      </c>
      <c r="E16" s="21">
        <f>AVERAGE(E4:E13)</f>
        <v>6.6</v>
      </c>
      <c r="F16" s="23"/>
    </row>
    <row r="17" spans="1:6" x14ac:dyDescent="0.3">
      <c r="A17" s="21" t="s">
        <v>28</v>
      </c>
      <c r="B17" s="21"/>
      <c r="C17" s="21"/>
      <c r="D17" s="21">
        <f>COUNT(A4:A13)</f>
        <v>10</v>
      </c>
      <c r="E17" s="21"/>
      <c r="F17" s="23"/>
    </row>
    <row r="18" spans="1:6" x14ac:dyDescent="0.3">
      <c r="A18" s="23"/>
      <c r="B18" s="23"/>
      <c r="C18" s="23"/>
      <c r="D18" s="23"/>
      <c r="E18" s="23"/>
      <c r="F18" s="23"/>
    </row>
    <row r="19" spans="1:6" x14ac:dyDescent="0.3">
      <c r="A19" s="21" t="s">
        <v>24</v>
      </c>
      <c r="B19" s="23"/>
      <c r="C19" s="23"/>
      <c r="D19" s="23"/>
      <c r="E19" s="23"/>
      <c r="F19" s="23"/>
    </row>
    <row r="20" spans="1:6" x14ac:dyDescent="0.3">
      <c r="A20" s="23" t="s">
        <v>25</v>
      </c>
      <c r="B20" s="23"/>
      <c r="C20" s="23"/>
      <c r="D20" s="23"/>
      <c r="E20" s="23"/>
      <c r="F20" s="23"/>
    </row>
  </sheetData>
  <sortState xmlns:xlrd2="http://schemas.microsoft.com/office/spreadsheetml/2017/richdata2" ref="A4:F13">
    <sortCondition descending="1" ref="F3:F13"/>
  </sortState>
  <conditionalFormatting sqref="D4:D13">
    <cfRule type="cellIs" dxfId="4" priority="1" operator="lessThanOrEqual">
      <formula>6000</formula>
    </cfRule>
    <cfRule type="cellIs" dxfId="3" priority="2" operator="greaterThanOrEqual">
      <formula>12000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F9BF5-B81B-45AA-996B-144994D5573F}">
  <dimension ref="A1:M9"/>
  <sheetViews>
    <sheetView zoomScale="90" zoomScaleNormal="90" workbookViewId="0">
      <selection activeCell="F14" sqref="F14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3" width="21.109375" bestFit="1" customWidth="1"/>
    <col min="4" max="4" width="14.21875" bestFit="1" customWidth="1"/>
    <col min="5" max="5" width="13.5546875" bestFit="1" customWidth="1"/>
    <col min="6" max="6" width="21.109375" bestFit="1" customWidth="1"/>
    <col min="7" max="7" width="14.21875" bestFit="1" customWidth="1"/>
    <col min="8" max="8" width="13.5546875" bestFit="1" customWidth="1"/>
    <col min="9" max="9" width="21.109375" bestFit="1" customWidth="1"/>
    <col min="10" max="10" width="14.21875" bestFit="1" customWidth="1"/>
    <col min="11" max="11" width="16.109375" bestFit="1" customWidth="1"/>
    <col min="12" max="12" width="25.77734375" bestFit="1" customWidth="1"/>
    <col min="13" max="13" width="18.77734375" bestFit="1" customWidth="1"/>
  </cols>
  <sheetData>
    <row r="1" spans="1:13" s="16" customFormat="1" ht="28.8" x14ac:dyDescent="0.55000000000000004">
      <c r="G1" s="17" t="s">
        <v>23</v>
      </c>
    </row>
    <row r="2" spans="1:13" x14ac:dyDescent="0.3">
      <c r="A2" s="16"/>
      <c r="B2" s="16" t="s">
        <v>16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x14ac:dyDescent="0.3">
      <c r="A3" s="16"/>
      <c r="B3" s="5" t="s">
        <v>6</v>
      </c>
      <c r="C3" s="16"/>
      <c r="D3" s="16"/>
      <c r="E3" s="8" t="s">
        <v>8</v>
      </c>
      <c r="F3" s="16"/>
      <c r="G3" s="16"/>
      <c r="H3" s="11" t="s">
        <v>10</v>
      </c>
      <c r="I3" s="16"/>
      <c r="J3" s="16"/>
      <c r="K3" s="13" t="s">
        <v>18</v>
      </c>
      <c r="L3" s="13" t="s">
        <v>21</v>
      </c>
      <c r="M3" s="14" t="s">
        <v>19</v>
      </c>
    </row>
    <row r="4" spans="1:13" x14ac:dyDescent="0.3">
      <c r="A4" s="2" t="s">
        <v>14</v>
      </c>
      <c r="B4" s="4" t="s">
        <v>17</v>
      </c>
      <c r="C4" s="4" t="s">
        <v>22</v>
      </c>
      <c r="D4" s="5" t="s">
        <v>20</v>
      </c>
      <c r="E4" s="7" t="s">
        <v>17</v>
      </c>
      <c r="F4" s="7" t="s">
        <v>22</v>
      </c>
      <c r="G4" s="8" t="s">
        <v>20</v>
      </c>
      <c r="H4" s="10" t="s">
        <v>17</v>
      </c>
      <c r="I4" s="10" t="s">
        <v>22</v>
      </c>
      <c r="J4" s="11" t="s">
        <v>20</v>
      </c>
      <c r="K4" s="13"/>
      <c r="L4" s="13"/>
      <c r="M4" s="14"/>
    </row>
    <row r="5" spans="1:13" x14ac:dyDescent="0.3">
      <c r="A5" s="3" t="s">
        <v>7</v>
      </c>
      <c r="B5" s="4">
        <v>14800</v>
      </c>
      <c r="C5" s="4">
        <v>2114.2857142857142</v>
      </c>
      <c r="D5" s="6">
        <v>7</v>
      </c>
      <c r="E5" s="7">
        <v>8200</v>
      </c>
      <c r="F5" s="7">
        <v>820</v>
      </c>
      <c r="G5" s="9">
        <v>10</v>
      </c>
      <c r="H5" s="10">
        <v>4200</v>
      </c>
      <c r="I5" s="10">
        <v>1400</v>
      </c>
      <c r="J5" s="12">
        <v>3</v>
      </c>
      <c r="K5" s="13">
        <v>27200</v>
      </c>
      <c r="L5" s="13">
        <v>4334.2857142857138</v>
      </c>
      <c r="M5" s="15">
        <v>20</v>
      </c>
    </row>
    <row r="6" spans="1:13" x14ac:dyDescent="0.3">
      <c r="A6" s="3" t="s">
        <v>5</v>
      </c>
      <c r="B6" s="4">
        <v>12500</v>
      </c>
      <c r="C6" s="4">
        <v>2500</v>
      </c>
      <c r="D6" s="6">
        <v>5</v>
      </c>
      <c r="E6" s="7">
        <v>7800</v>
      </c>
      <c r="F6" s="7">
        <v>866.66666666666663</v>
      </c>
      <c r="G6" s="9">
        <v>9</v>
      </c>
      <c r="H6" s="10">
        <v>6300</v>
      </c>
      <c r="I6" s="10">
        <v>1260</v>
      </c>
      <c r="J6" s="12">
        <v>5</v>
      </c>
      <c r="K6" s="13">
        <v>26600</v>
      </c>
      <c r="L6" s="13">
        <v>4626.6666666666661</v>
      </c>
      <c r="M6" s="15">
        <v>19</v>
      </c>
    </row>
    <row r="7" spans="1:13" x14ac:dyDescent="0.3">
      <c r="A7" s="3" t="s">
        <v>9</v>
      </c>
      <c r="B7" s="4">
        <v>13400</v>
      </c>
      <c r="C7" s="4">
        <v>2680</v>
      </c>
      <c r="D7" s="6">
        <v>5</v>
      </c>
      <c r="E7" s="7"/>
      <c r="F7" s="7"/>
      <c r="G7" s="9"/>
      <c r="H7" s="10">
        <v>5600</v>
      </c>
      <c r="I7" s="10">
        <v>1400</v>
      </c>
      <c r="J7" s="12">
        <v>4</v>
      </c>
      <c r="K7" s="13">
        <v>19000</v>
      </c>
      <c r="L7" s="13">
        <v>4080</v>
      </c>
      <c r="M7" s="15">
        <v>9</v>
      </c>
    </row>
    <row r="8" spans="1:13" x14ac:dyDescent="0.3">
      <c r="A8" s="3" t="s">
        <v>11</v>
      </c>
      <c r="B8" s="4">
        <v>15000</v>
      </c>
      <c r="C8" s="4">
        <v>2500</v>
      </c>
      <c r="D8" s="6">
        <v>6</v>
      </c>
      <c r="E8" s="7">
        <v>9100</v>
      </c>
      <c r="F8" s="7">
        <v>758.33333333333337</v>
      </c>
      <c r="G8" s="9">
        <v>12</v>
      </c>
      <c r="H8" s="10"/>
      <c r="I8" s="10"/>
      <c r="J8" s="12"/>
      <c r="K8" s="13">
        <v>24100</v>
      </c>
      <c r="L8" s="13">
        <v>3258.3333333333335</v>
      </c>
      <c r="M8" s="15">
        <v>18</v>
      </c>
    </row>
    <row r="9" spans="1:13" x14ac:dyDescent="0.3">
      <c r="A9" s="3" t="s">
        <v>15</v>
      </c>
      <c r="B9" s="4">
        <v>55700</v>
      </c>
      <c r="C9" s="4">
        <v>9794.2857142857138</v>
      </c>
      <c r="D9" s="6">
        <v>23</v>
      </c>
      <c r="E9" s="7">
        <v>25100</v>
      </c>
      <c r="F9" s="7">
        <v>2445</v>
      </c>
      <c r="G9" s="9">
        <v>31</v>
      </c>
      <c r="H9" s="10">
        <v>16100</v>
      </c>
      <c r="I9" s="10">
        <v>4060</v>
      </c>
      <c r="J9" s="12">
        <v>12</v>
      </c>
      <c r="K9" s="13">
        <v>96900</v>
      </c>
      <c r="L9" s="13">
        <v>16299.285714285714</v>
      </c>
      <c r="M9" s="15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7C2B9-9F27-4419-A3FC-1D9A4D3DF2C2}">
  <dimension ref="A1"/>
  <sheetViews>
    <sheetView workbookViewId="0">
      <selection activeCell="I22" sqref="I2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Pivot Table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Vhambelani Maelekano</dc:creator>
  <cp:lastModifiedBy>Vhambelani Maelekano</cp:lastModifiedBy>
  <dcterms:created xsi:type="dcterms:W3CDTF">2026-02-24T14:05:10Z</dcterms:created>
  <dcterms:modified xsi:type="dcterms:W3CDTF">2026-02-24T19:21:19Z</dcterms:modified>
</cp:coreProperties>
</file>